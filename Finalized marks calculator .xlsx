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airamiyer/Desktop/"/>
    </mc:Choice>
  </mc:AlternateContent>
  <xr:revisionPtr revIDLastSave="0" documentId="13_ncr:1_{BDDDD962-6CB6-3D44-935B-DC5831AC1F0B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SIU Sem 1 Master CGP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N35" i="1" s="1"/>
  <c r="I35" i="1"/>
  <c r="J35" i="1" s="1"/>
  <c r="M29" i="1"/>
  <c r="N29" i="1" s="1"/>
  <c r="I29" i="1"/>
  <c r="J29" i="1" s="1"/>
  <c r="I25" i="1"/>
  <c r="J25" i="1" s="1"/>
  <c r="M20" i="1"/>
  <c r="N20" i="1" s="1"/>
  <c r="I20" i="1"/>
  <c r="J20" i="1" s="1"/>
  <c r="M15" i="1"/>
  <c r="N15" i="1" s="1"/>
  <c r="I15" i="1"/>
  <c r="J15" i="1" s="1"/>
  <c r="I10" i="1"/>
  <c r="J10" i="1" s="1"/>
  <c r="M5" i="1"/>
  <c r="N5" i="1" s="1"/>
  <c r="I5" i="1"/>
  <c r="J5" i="1" s="1"/>
  <c r="K35" i="1" l="1"/>
  <c r="O35" i="1"/>
  <c r="P35" i="1" s="1"/>
  <c r="K29" i="1"/>
  <c r="O29" i="1"/>
  <c r="P29" i="1" s="1"/>
  <c r="O25" i="1"/>
  <c r="P25" i="1" s="1"/>
  <c r="K25" i="1"/>
  <c r="K20" i="1"/>
  <c r="O20" i="1"/>
  <c r="P20" i="1" s="1"/>
  <c r="O15" i="1"/>
  <c r="P15" i="1" s="1"/>
  <c r="K15" i="1"/>
  <c r="K10" i="1"/>
  <c r="O10" i="1"/>
  <c r="P10" i="1" s="1"/>
  <c r="K5" i="1"/>
  <c r="O5" i="1"/>
  <c r="P5" i="1" s="1"/>
  <c r="O40" i="1" l="1"/>
</calcChain>
</file>

<file path=xl/sharedStrings.xml><?xml version="1.0" encoding="utf-8"?>
<sst xmlns="http://schemas.openxmlformats.org/spreadsheetml/2006/main" count="106" uniqueCount="96">
  <si>
    <t>SYMBIOSIS INTERNATIONAL UNIVERSITY (SIU) — SEMESTER 1 MASTER CGPA &amp; MARKS CALCULATOR</t>
  </si>
  <si>
    <t>Exact Assessment Structure: Max Mark Per Internal = 15 Marks (Standard Courses) / 25 Marks (100% CA Courses)</t>
  </si>
  <si>
    <t>Course Code &amp; Name</t>
  </si>
  <si>
    <t>Credits</t>
  </si>
  <si>
    <t>Module / Unit Title</t>
  </si>
  <si>
    <t>Detailed Syllabus &amp; Core Concepts</t>
  </si>
  <si>
    <t>Int 1 Score</t>
  </si>
  <si>
    <t>Int 2 Score</t>
  </si>
  <si>
    <t>Int 3 Score</t>
  </si>
  <si>
    <t>Int 4 Score</t>
  </si>
  <si>
    <t>Total Int Raw</t>
  </si>
  <si>
    <t>Int Weighted (60% or 100%)</t>
  </si>
  <si>
    <t>Int Pass Status</t>
  </si>
  <si>
    <t>Ext Exam Raw Score</t>
  </si>
  <si>
    <t>Ext Weighted (40%)</t>
  </si>
  <si>
    <t>Ext Pass Status</t>
  </si>
  <si>
    <t>Weighted Mark (100%)</t>
  </si>
  <si>
    <t>Course Grade Point (CGPA)</t>
  </si>
  <si>
    <t>THM6229: Fundamentals of Statistics</t>
  </si>
  <si>
    <t>Module 1: Language of Data</t>
  </si>
  <si>
    <t>Population vs Sample, Parameters vs Statistics, Data Types, Sampling Methods.</t>
  </si>
  <si>
    <t>N/A</t>
  </si>
  <si>
    <t>Module 2: Presentation &amp; Visualization</t>
  </si>
  <si>
    <t>Frequency Tables, Bar, Pie, Histogram, Ogive, Scatterplot, Pivot Tables.</t>
  </si>
  <si>
    <t>Module 3: Central Tendency &amp; Dispersion</t>
  </si>
  <si>
    <t>Mean, Median, Mode, Quartiles, SD, Variance, CV, Z-score.</t>
  </si>
  <si>
    <t>Module 4: Shape &amp; Association</t>
  </si>
  <si>
    <t>Moments, Skewness, Kurtosis, Correlation, Linear Regression, Chi-Square.</t>
  </si>
  <si>
    <t>Module 5: Summary &amp; Dashboard Project</t>
  </si>
  <si>
    <t>Visual Storytelling, Mini-Project Deliverables, Analytical Summaries.</t>
  </si>
  <si>
    <t>THM6266: Statistical Computing with Excel</t>
  </si>
  <si>
    <t>Unit 1: Foundations of Excel</t>
  </si>
  <si>
    <t>Ribbon, Worksheets, Shortcuts, Formatting, Protection, Saving CSV/PDF.</t>
  </si>
  <si>
    <t>N/A (100% CA)</t>
  </si>
  <si>
    <t>EXEMPTED</t>
  </si>
  <si>
    <t>Unit 2: Functions &amp; Visualization</t>
  </si>
  <si>
    <t>Logical (IF/AND/OR), Text, Math, Statistical Functions, Charts.</t>
  </si>
  <si>
    <t>Unit 3: Statistical Analysis</t>
  </si>
  <si>
    <t>Descriptive Stats, Data Analysis ToolPak, Correlation, Hypothesis Testing.</t>
  </si>
  <si>
    <t>Unit 4: Data Management &amp; Decision</t>
  </si>
  <si>
    <t>VLOOKUP/INDEX-MATCH, Pivot Tables, Goal Seek, What-If Analysis, Macros.</t>
  </si>
  <si>
    <t>Unit 5: Experiential Learning</t>
  </si>
  <si>
    <t>Simulated Data Analysis, SDG-4 Alignment Lab Work.</t>
  </si>
  <si>
    <t>THM6261: Probability Theory</t>
  </si>
  <si>
    <t>Unit 1: Algebra of Sets &amp; Foundations</t>
  </si>
  <si>
    <t>Fields, Sigma-Fields, Borel Field, Monotone Classes, Kolmogorov Axioms.</t>
  </si>
  <si>
    <t>Unit 2: Random Variables &amp; Distribution</t>
  </si>
  <si>
    <t>Discrete/Continuous RVs, PMF/PDF/CDF, MGF, PGF, Quantiles.</t>
  </si>
  <si>
    <t>Unit 3: Probability Inequalities</t>
  </si>
  <si>
    <t>Markov, Chebyshev, Cauchy-Schwarz Inequalities.</t>
  </si>
  <si>
    <t>Unit 4: Limit Theorems</t>
  </si>
  <si>
    <t>WLLN, SLLN, Central Limit Theorem (CLT Proof &amp; Statements).</t>
  </si>
  <si>
    <t>Unit 5: Hands-on Experiential Learning</t>
  </si>
  <si>
    <t>Probability Modeling using Open-Source Tools.</t>
  </si>
  <si>
    <t>THM6256: Introduction to Data Science Principles</t>
  </si>
  <si>
    <t>Unit 1: Introduction &amp; Datafication</t>
  </si>
  <si>
    <t>Big Data, Datafication Era, Data Scientist Skillsets.</t>
  </si>
  <si>
    <t>Unit 2: Statistical Inference</t>
  </si>
  <si>
    <t>Populations vs Samples, Statistical Modeling, Distributions.</t>
  </si>
  <si>
    <t>Unit 3: R/Python Basics</t>
  </si>
  <si>
    <t>Data Structures, Cleaning, Transformations, Visualizations.</t>
  </si>
  <si>
    <t>Unit 4: EDA &amp; Ethics</t>
  </si>
  <si>
    <t>EDA Philosophy, Summary Stats, Data Ethics, Privacy &amp; Security.</t>
  </si>
  <si>
    <t>Real-World Dataset Analysis.</t>
  </si>
  <si>
    <t>T3852: Introduction to AI</t>
  </si>
  <si>
    <t>Unit 1: Foundations &amp; Knowledge Rep</t>
  </si>
  <si>
    <t>AI Overview, Agents, Predicate Logic, Semantic Nets, Bayes Inference.</t>
  </si>
  <si>
    <t>Unit 2: Searching &amp; Games</t>
  </si>
  <si>
    <t>BFS, DFS, Hill Climbing, A*, AO*, Mini-Max, Alpha-Beta Pruning.</t>
  </si>
  <si>
    <t>Unit 3: Machine Learning</t>
  </si>
  <si>
    <t>Supervised, Unsupervised, Reinforcement, Pipeline, Validation.</t>
  </si>
  <si>
    <t>Unit 4: Applications &amp; Ethics</t>
  </si>
  <si>
    <t>AI in Healthcare, Finance, Defense, Ethical Guidelines.</t>
  </si>
  <si>
    <t>T2780: Introduction to Contemporary Business Practices</t>
  </si>
  <si>
    <t>Unit 1: Family Business &amp; Evolution</t>
  </si>
  <si>
    <t>Uniqueness, Succession, Challenges, Indian MNCs, PESTEL Analysis.</t>
  </si>
  <si>
    <t>Unit 2: Practices &amp; Public Sector</t>
  </si>
  <si>
    <t>Public Utilities Pre/Post LPG, Agricultural Business &amp; Tax Policy.</t>
  </si>
  <si>
    <t>Unit 3: Key Sectors</t>
  </si>
  <si>
    <t>Co-operative, Small &amp; Cottage, Public/Private Growth.</t>
  </si>
  <si>
    <t>Unit 4: Bottom of the Pyramid (BOP)</t>
  </si>
  <si>
    <t>BOP Strategies, Innovation Principles, Social Transformation.</t>
  </si>
  <si>
    <t>Unit 5: Credit &amp; Consumer</t>
  </si>
  <si>
    <t>Sources of Credit, Credit Ratings, Process of Obtaining Credit.</t>
  </si>
  <si>
    <t>Unit 6-8: PR, Tech &amp; Learning Orgs</t>
  </si>
  <si>
    <t>Online PR, Social Media, Senge's 5th Discipline, Digitization &amp; AI.</t>
  </si>
  <si>
    <t>T6749: Design Thinking</t>
  </si>
  <si>
    <t>Unit 1-5: Core Concepts</t>
  </si>
  <si>
    <t>Defining DT, Left vs Right Brain, Critical vs Creative, Myths.</t>
  </si>
  <si>
    <t>Unit 6-8: Creative Tools</t>
  </si>
  <si>
    <t>Brainstorming, Mind Mapping, SWOC, 6 Thinking Hats, Jugaad.</t>
  </si>
  <si>
    <t>Unit 9-10: Empathy &amp; Distributed</t>
  </si>
  <si>
    <t>Role of Empathy, User Needs, Medici Effect, Biomimicry.</t>
  </si>
  <si>
    <t>Unit 11-12: Experiments</t>
  </si>
  <si>
    <t>Team Experiments, Designing Value, Final Presentations.</t>
  </si>
  <si>
    <t>COMBINED CGPA FOR THIS SEMESTER (Credit-Weighted Average Across All 7 Courses):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</si>
</sst>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9.5"/>
      <color rgb="FFE2E8F0"/>
      <name val="Segoe UI"/>
    </font>
    <font>
      <b/>
      <sz val="9.5"/>
      <color rgb="FFFFFFFF"/>
      <name val="Segoe UI"/>
    </font>
    <font>
      <b/>
      <sz val="9"/>
      <name val="Segoe UI"/>
    </font>
    <font>
      <sz val="9"/>
      <name val="Segoe UI"/>
    </font>
    <font>
      <b/>
      <sz val="10"/>
      <color rgb="FF1E3A8A"/>
      <name val="Segoe UI"/>
    </font>
    <font>
      <i/>
      <sz val="9"/>
      <color rgb="FF94A3B8"/>
      <name val="Segoe UI"/>
    </font>
    <font>
      <i/>
      <sz val="9"/>
      <color rgb="FF64748B"/>
      <name val="Segoe UI"/>
    </font>
    <font>
      <sz val="9"/>
      <color rgb="FF94A3B8"/>
      <name val="Segoe UI"/>
    </font>
    <font>
      <b/>
      <sz val="11"/>
      <color rgb="FF1E3A8A"/>
      <name val="Segoe UI"/>
    </font>
    <font>
      <b/>
      <sz val="13"/>
      <color rgb="FF1E3A8A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FEF08A"/>
        <bgColor rgb="FFFEF08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0" fillId="0" borderId="3" xfId="0" applyBorder="1"/>
    <xf numFmtId="2" fontId="6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164" fontId="9" fillId="4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10" fillId="5" borderId="3" xfId="0" applyFont="1" applyFill="1" applyBorder="1" applyAlignment="1">
      <alignment horizontal="right" vertical="center" indent="1"/>
    </xf>
    <xf numFmtId="164" fontId="9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11" zoomScale="96" workbookViewId="0">
      <selection activeCell="E39" sqref="E39"/>
    </sheetView>
  </sheetViews>
  <sheetFormatPr baseColWidth="10" defaultColWidth="8.83203125" defaultRowHeight="15" x14ac:dyDescent="0.2"/>
  <cols>
    <col min="1" max="1" width="26" customWidth="1"/>
    <col min="2" max="2" width="8" customWidth="1"/>
    <col min="3" max="3" width="28" customWidth="1"/>
    <col min="4" max="4" width="40" customWidth="1"/>
    <col min="5" max="8" width="11" customWidth="1"/>
    <col min="9" max="9" width="14" customWidth="1"/>
    <col min="10" max="14" width="15" customWidth="1"/>
    <col min="15" max="15" width="16" customWidth="1"/>
    <col min="16" max="16" width="18" customWidth="1"/>
  </cols>
  <sheetData>
    <row r="1" spans="1:16" ht="24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6" customHeight="1" x14ac:dyDescent="0.2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20" customHeight="1" x14ac:dyDescent="0.2">
      <c r="A5" s="6" t="s">
        <v>18</v>
      </c>
      <c r="B5" s="14">
        <v>3</v>
      </c>
      <c r="C5" s="2" t="s">
        <v>19</v>
      </c>
      <c r="D5" s="3" t="s">
        <v>20</v>
      </c>
      <c r="E5" s="10">
        <v>12</v>
      </c>
      <c r="F5" s="10">
        <v>11.2</v>
      </c>
      <c r="G5" s="10">
        <v>11.2</v>
      </c>
      <c r="H5" s="16" t="s">
        <v>21</v>
      </c>
      <c r="I5" s="8">
        <f>SUM(E5:H5)</f>
        <v>34.4</v>
      </c>
      <c r="J5" s="8">
        <f>(I5/45)*60</f>
        <v>45.86666666666666</v>
      </c>
      <c r="K5" s="14" t="str">
        <f>IF(J5&gt;=24, "PASS (&gt;=24M)", "FAIL (&lt;24M)")</f>
        <v>PASS (&gt;=24M)</v>
      </c>
      <c r="L5" s="10">
        <v>22.5</v>
      </c>
      <c r="M5" s="8">
        <f>(L5/30)*40</f>
        <v>30</v>
      </c>
      <c r="N5" s="14" t="str">
        <f>IF(M5&gt;=16, "PASS (&gt;=16M)", "FAIL (&lt;16M)")</f>
        <v>PASS (&gt;=16M)</v>
      </c>
      <c r="O5" s="8">
        <f>J5+M5</f>
        <v>75.86666666666666</v>
      </c>
      <c r="P5" s="13">
        <f>O5/10</f>
        <v>7.586666666666666</v>
      </c>
    </row>
    <row r="6" spans="1:16" ht="20" customHeight="1" x14ac:dyDescent="0.2">
      <c r="A6" s="7"/>
      <c r="B6" s="7"/>
      <c r="C6" s="4" t="s">
        <v>22</v>
      </c>
      <c r="D6" s="5" t="s">
        <v>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" customHeight="1" x14ac:dyDescent="0.2">
      <c r="A7" s="7"/>
      <c r="B7" s="7"/>
      <c r="C7" s="2" t="s">
        <v>24</v>
      </c>
      <c r="D7" s="3" t="s">
        <v>25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0" customHeight="1" x14ac:dyDescent="0.2">
      <c r="A8" s="7"/>
      <c r="B8" s="7"/>
      <c r="C8" s="4" t="s">
        <v>26</v>
      </c>
      <c r="D8" s="5" t="s">
        <v>27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20" customHeight="1" x14ac:dyDescent="0.2">
      <c r="A9" s="7"/>
      <c r="B9" s="7"/>
      <c r="C9" s="2" t="s">
        <v>28</v>
      </c>
      <c r="D9" s="3" t="s">
        <v>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0" customHeight="1" x14ac:dyDescent="0.2">
      <c r="A10" s="12" t="s">
        <v>30</v>
      </c>
      <c r="B10" s="9">
        <v>3</v>
      </c>
      <c r="C10" s="4" t="s">
        <v>31</v>
      </c>
      <c r="D10" s="5" t="s">
        <v>32</v>
      </c>
      <c r="E10" s="18">
        <v>25</v>
      </c>
      <c r="F10" s="18">
        <v>18.8</v>
      </c>
      <c r="G10" s="18">
        <v>18.8</v>
      </c>
      <c r="H10" s="22" t="s">
        <v>21</v>
      </c>
      <c r="I10" s="17">
        <f>SUM(E10:H10)</f>
        <v>62.599999999999994</v>
      </c>
      <c r="J10" s="17">
        <f>(I10/75)*100</f>
        <v>83.466666666666654</v>
      </c>
      <c r="K10" s="9" t="str">
        <f>IF(J10&gt;=40, "PASS (&gt;=40M)", "FAIL (&lt;40M)")</f>
        <v>PASS (&gt;=40M)</v>
      </c>
      <c r="L10" s="15" t="s">
        <v>33</v>
      </c>
      <c r="M10" s="25">
        <v>0</v>
      </c>
      <c r="N10" s="15" t="s">
        <v>34</v>
      </c>
      <c r="O10" s="17">
        <f>J10</f>
        <v>83.466666666666654</v>
      </c>
      <c r="P10" s="21">
        <f>O10/10</f>
        <v>8.3466666666666658</v>
      </c>
    </row>
    <row r="11" spans="1:16" ht="20" customHeight="1" x14ac:dyDescent="0.2">
      <c r="A11" s="7"/>
      <c r="B11" s="7"/>
      <c r="C11" s="2" t="s">
        <v>35</v>
      </c>
      <c r="D11" s="3" t="s">
        <v>36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20" customHeight="1" x14ac:dyDescent="0.2">
      <c r="A12" s="7"/>
      <c r="B12" s="7"/>
      <c r="C12" s="4" t="s">
        <v>37</v>
      </c>
      <c r="D12" s="5" t="s">
        <v>38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20" customHeight="1" x14ac:dyDescent="0.2">
      <c r="A13" s="7"/>
      <c r="B13" s="7"/>
      <c r="C13" s="2" t="s">
        <v>39</v>
      </c>
      <c r="D13" s="3" t="s">
        <v>40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20" customHeight="1" x14ac:dyDescent="0.2">
      <c r="A14" s="7"/>
      <c r="B14" s="7"/>
      <c r="C14" s="4" t="s">
        <v>41</v>
      </c>
      <c r="D14" s="5" t="s">
        <v>42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0" customHeight="1" x14ac:dyDescent="0.2">
      <c r="A15" s="6" t="s">
        <v>43</v>
      </c>
      <c r="B15" s="14">
        <v>3</v>
      </c>
      <c r="C15" s="2" t="s">
        <v>44</v>
      </c>
      <c r="D15" s="3" t="s">
        <v>45</v>
      </c>
      <c r="E15" s="10">
        <v>8</v>
      </c>
      <c r="F15" s="10">
        <v>11.2</v>
      </c>
      <c r="G15" s="10">
        <v>11.2</v>
      </c>
      <c r="H15" s="16" t="s">
        <v>21</v>
      </c>
      <c r="I15" s="8">
        <f>SUM(E15:H15)</f>
        <v>30.4</v>
      </c>
      <c r="J15" s="8">
        <f>(I15/45)*60</f>
        <v>40.533333333333331</v>
      </c>
      <c r="K15" s="14" t="str">
        <f>IF(J15&gt;=24, "PASS (&gt;=24M)", "FAIL (&lt;24M)")</f>
        <v>PASS (&gt;=24M)</v>
      </c>
      <c r="L15" s="10">
        <v>22.5</v>
      </c>
      <c r="M15" s="8">
        <f>(L15/30)*40</f>
        <v>30</v>
      </c>
      <c r="N15" s="14" t="str">
        <f>IF(M15&gt;=16, "PASS (&gt;=16M)", "FAIL (&lt;16M)")</f>
        <v>PASS (&gt;=16M)</v>
      </c>
      <c r="O15" s="8">
        <f>J15+M15</f>
        <v>70.533333333333331</v>
      </c>
      <c r="P15" s="13">
        <f>O15/10</f>
        <v>7.0533333333333328</v>
      </c>
    </row>
    <row r="16" spans="1:16" ht="20" customHeight="1" x14ac:dyDescent="0.2">
      <c r="A16" s="7"/>
      <c r="B16" s="7"/>
      <c r="C16" s="4" t="s">
        <v>46</v>
      </c>
      <c r="D16" s="5" t="s">
        <v>47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0" customHeight="1" x14ac:dyDescent="0.2">
      <c r="A17" s="7"/>
      <c r="B17" s="7"/>
      <c r="C17" s="2" t="s">
        <v>48</v>
      </c>
      <c r="D17" s="3" t="s">
        <v>49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0" customHeight="1" x14ac:dyDescent="0.2">
      <c r="A18" s="7"/>
      <c r="B18" s="7"/>
      <c r="C18" s="4" t="s">
        <v>50</v>
      </c>
      <c r="D18" s="5" t="s">
        <v>51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0" customHeight="1" x14ac:dyDescent="0.2">
      <c r="A19" s="7"/>
      <c r="B19" s="7"/>
      <c r="C19" s="2" t="s">
        <v>52</v>
      </c>
      <c r="D19" s="3" t="s">
        <v>53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0" customHeight="1" x14ac:dyDescent="0.2">
      <c r="A20" s="12" t="s">
        <v>54</v>
      </c>
      <c r="B20" s="9">
        <v>3</v>
      </c>
      <c r="C20" s="4" t="s">
        <v>55</v>
      </c>
      <c r="D20" s="5" t="s">
        <v>56</v>
      </c>
      <c r="E20" s="18">
        <v>14.5</v>
      </c>
      <c r="F20" s="18">
        <v>11.2</v>
      </c>
      <c r="G20" s="18">
        <v>11.2</v>
      </c>
      <c r="H20" s="22" t="s">
        <v>21</v>
      </c>
      <c r="I20" s="17">
        <f>SUM(E20:H20)</f>
        <v>36.9</v>
      </c>
      <c r="J20" s="17">
        <f>(I20/45)*60</f>
        <v>49.199999999999996</v>
      </c>
      <c r="K20" s="9" t="str">
        <f>IF(J20&gt;=24, "PASS (&gt;=24M)", "FAIL (&lt;24M)")</f>
        <v>PASS (&gt;=24M)</v>
      </c>
      <c r="L20" s="18">
        <v>22.5</v>
      </c>
      <c r="M20" s="17">
        <f>(L20/30)*40</f>
        <v>30</v>
      </c>
      <c r="N20" s="9" t="str">
        <f>IF(M20&gt;=16, "PASS (&gt;=16M)", "FAIL (&lt;16M)")</f>
        <v>PASS (&gt;=16M)</v>
      </c>
      <c r="O20" s="17">
        <f>J20+M20</f>
        <v>79.199999999999989</v>
      </c>
      <c r="P20" s="21">
        <f>O20/10</f>
        <v>7.919999999999999</v>
      </c>
    </row>
    <row r="21" spans="1:16" ht="20" customHeight="1" x14ac:dyDescent="0.2">
      <c r="A21" s="7"/>
      <c r="B21" s="7"/>
      <c r="C21" s="2" t="s">
        <v>57</v>
      </c>
      <c r="D21" s="3" t="s">
        <v>58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0" customHeight="1" x14ac:dyDescent="0.2">
      <c r="A22" s="7"/>
      <c r="B22" s="7"/>
      <c r="C22" s="4" t="s">
        <v>59</v>
      </c>
      <c r="D22" s="5" t="s">
        <v>60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0" customHeight="1" x14ac:dyDescent="0.2">
      <c r="A23" s="7"/>
      <c r="B23" s="7"/>
      <c r="C23" s="2" t="s">
        <v>61</v>
      </c>
      <c r="D23" s="3" t="s">
        <v>62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0" customHeight="1" x14ac:dyDescent="0.2">
      <c r="A24" s="7"/>
      <c r="B24" s="7"/>
      <c r="C24" s="4" t="s">
        <v>41</v>
      </c>
      <c r="D24" s="5" t="s">
        <v>63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0" customHeight="1" x14ac:dyDescent="0.2">
      <c r="A25" s="6" t="s">
        <v>64</v>
      </c>
      <c r="B25" s="14">
        <v>2</v>
      </c>
      <c r="C25" s="2" t="s">
        <v>65</v>
      </c>
      <c r="D25" s="3" t="s">
        <v>66</v>
      </c>
      <c r="E25" s="10">
        <v>24</v>
      </c>
      <c r="F25" s="10">
        <v>18.8</v>
      </c>
      <c r="G25" s="16" t="s">
        <v>21</v>
      </c>
      <c r="H25" s="16" t="s">
        <v>21</v>
      </c>
      <c r="I25" s="8">
        <f>SUM(E25:H25)</f>
        <v>42.8</v>
      </c>
      <c r="J25" s="8">
        <f>(I25/50)*100</f>
        <v>85.6</v>
      </c>
      <c r="K25" s="14" t="str">
        <f>IF(J25&gt;=40, "PASS (&gt;=40M)", "FAIL (&lt;40M)")</f>
        <v>PASS (&gt;=40M)</v>
      </c>
      <c r="L25" s="11" t="s">
        <v>33</v>
      </c>
      <c r="M25" s="28">
        <v>0</v>
      </c>
      <c r="N25" s="11" t="s">
        <v>34</v>
      </c>
      <c r="O25" s="8">
        <f>J25</f>
        <v>85.6</v>
      </c>
      <c r="P25" s="13">
        <f>O25/10</f>
        <v>8.5599999999999987</v>
      </c>
    </row>
    <row r="26" spans="1:16" ht="20" customHeight="1" x14ac:dyDescent="0.2">
      <c r="A26" s="7"/>
      <c r="B26" s="7"/>
      <c r="C26" s="4" t="s">
        <v>67</v>
      </c>
      <c r="D26" s="5" t="s">
        <v>68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" customHeight="1" x14ac:dyDescent="0.2">
      <c r="A27" s="7"/>
      <c r="B27" s="7"/>
      <c r="C27" s="2" t="s">
        <v>69</v>
      </c>
      <c r="D27" s="3" t="s">
        <v>70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20" customHeight="1" x14ac:dyDescent="0.2">
      <c r="A28" s="7"/>
      <c r="B28" s="7"/>
      <c r="C28" s="4" t="s">
        <v>71</v>
      </c>
      <c r="D28" s="5" t="s">
        <v>72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20" customHeight="1" x14ac:dyDescent="0.2">
      <c r="A29" s="6" t="s">
        <v>73</v>
      </c>
      <c r="B29" s="14">
        <v>4</v>
      </c>
      <c r="C29" s="2" t="s">
        <v>74</v>
      </c>
      <c r="D29" s="3" t="s">
        <v>75</v>
      </c>
      <c r="E29" s="10">
        <v>14</v>
      </c>
      <c r="F29" s="10">
        <v>11.2</v>
      </c>
      <c r="G29" s="10">
        <v>11.2</v>
      </c>
      <c r="H29" s="10">
        <v>11.2</v>
      </c>
      <c r="I29" s="8">
        <f>SUM(E29:H29)</f>
        <v>47.599999999999994</v>
      </c>
      <c r="J29" s="8">
        <f>(I29/60)*60</f>
        <v>47.599999999999994</v>
      </c>
      <c r="K29" s="14" t="str">
        <f>IF(J29&gt;=24, "PASS (&gt;=24M)", "FAIL (&lt;24M)")</f>
        <v>PASS (&gt;=24M)</v>
      </c>
      <c r="L29" s="10">
        <v>30</v>
      </c>
      <c r="M29" s="8">
        <f>(L29/40)*40</f>
        <v>30</v>
      </c>
      <c r="N29" s="14" t="str">
        <f>IF(M29&gt;=16, "PASS (&gt;=16M)", "FAIL (&lt;16M)")</f>
        <v>PASS (&gt;=16M)</v>
      </c>
      <c r="O29" s="8">
        <f>J29+M29</f>
        <v>77.599999999999994</v>
      </c>
      <c r="P29" s="13">
        <f>O29/10</f>
        <v>7.76</v>
      </c>
    </row>
    <row r="30" spans="1:16" ht="20" customHeight="1" x14ac:dyDescent="0.2">
      <c r="A30" s="7"/>
      <c r="B30" s="7"/>
      <c r="C30" s="4" t="s">
        <v>76</v>
      </c>
      <c r="D30" s="5" t="s">
        <v>77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20" customHeight="1" x14ac:dyDescent="0.2">
      <c r="A31" s="7"/>
      <c r="B31" s="7"/>
      <c r="C31" s="2" t="s">
        <v>78</v>
      </c>
      <c r="D31" s="3" t="s">
        <v>79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20" customHeight="1" x14ac:dyDescent="0.2">
      <c r="A32" s="7"/>
      <c r="B32" s="7"/>
      <c r="C32" s="4" t="s">
        <v>80</v>
      </c>
      <c r="D32" s="5" t="s">
        <v>81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20" customHeight="1" x14ac:dyDescent="0.2">
      <c r="A33" s="7"/>
      <c r="B33" s="7"/>
      <c r="C33" s="2" t="s">
        <v>82</v>
      </c>
      <c r="D33" s="3" t="s">
        <v>83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20" customHeight="1" x14ac:dyDescent="0.2">
      <c r="A34" s="7"/>
      <c r="B34" s="7"/>
      <c r="C34" s="4" t="s">
        <v>84</v>
      </c>
      <c r="D34" s="5" t="s">
        <v>85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20" customHeight="1" x14ac:dyDescent="0.2">
      <c r="A35" s="6" t="s">
        <v>86</v>
      </c>
      <c r="B35" s="14">
        <v>2</v>
      </c>
      <c r="C35" s="2" t="s">
        <v>87</v>
      </c>
      <c r="D35" s="3" t="s">
        <v>88</v>
      </c>
      <c r="E35" s="10">
        <v>18</v>
      </c>
      <c r="F35" s="10">
        <v>11.2</v>
      </c>
      <c r="G35" s="16" t="s">
        <v>21</v>
      </c>
      <c r="H35" s="16" t="s">
        <v>21</v>
      </c>
      <c r="I35" s="8">
        <f>SUM(E35:H35)</f>
        <v>29.2</v>
      </c>
      <c r="J35" s="8">
        <f>(I35/30)*60</f>
        <v>58.4</v>
      </c>
      <c r="K35" s="14" t="str">
        <f>IF(J35&gt;=24, "PASS (&gt;=24M)", "FAIL (&lt;24M)")</f>
        <v>PASS (&gt;=24M)</v>
      </c>
      <c r="L35" s="10">
        <v>15</v>
      </c>
      <c r="M35" s="8">
        <f>(L35/20)*40</f>
        <v>30</v>
      </c>
      <c r="N35" s="14" t="str">
        <f>IF(M35&gt;=16, "PASS (&gt;=16M)", "FAIL (&lt;16M)")</f>
        <v>PASS (&gt;=16M)</v>
      </c>
      <c r="O35" s="8">
        <f>J35+M35</f>
        <v>88.4</v>
      </c>
      <c r="P35" s="13">
        <f>O35/10</f>
        <v>8.84</v>
      </c>
    </row>
    <row r="36" spans="1:16" ht="20" customHeight="1" x14ac:dyDescent="0.2">
      <c r="A36" s="7"/>
      <c r="B36" s="7"/>
      <c r="C36" s="4" t="s">
        <v>89</v>
      </c>
      <c r="D36" s="5" t="s">
        <v>90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ht="20" customHeight="1" x14ac:dyDescent="0.2">
      <c r="A37" s="7"/>
      <c r="B37" s="7"/>
      <c r="C37" s="2" t="s">
        <v>91</v>
      </c>
      <c r="D37" s="3" t="s">
        <v>92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20" customHeight="1" x14ac:dyDescent="0.2">
      <c r="A38" s="7"/>
      <c r="B38" s="7"/>
      <c r="C38" s="4" t="s">
        <v>93</v>
      </c>
      <c r="D38" s="5" t="s">
        <v>94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40" spans="1:16" ht="28" customHeight="1" x14ac:dyDescent="0.2">
      <c r="A40" s="27" t="s">
        <v>95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19">
        <f>(B5*P5+B10*P10+B15*P15+B20*P20+B25*P25+B29*P29+B35*P35)/SUM(B5:B100)</f>
        <v>7.9279999999999999</v>
      </c>
      <c r="P40" s="20"/>
    </row>
  </sheetData>
  <mergeCells count="102">
    <mergeCell ref="A2:P2"/>
    <mergeCell ref="A40:N40"/>
    <mergeCell ref="J20:J24"/>
    <mergeCell ref="L20:L24"/>
    <mergeCell ref="H29:H34"/>
    <mergeCell ref="E35:E38"/>
    <mergeCell ref="J29:J34"/>
    <mergeCell ref="A25:A28"/>
    <mergeCell ref="I20:I24"/>
    <mergeCell ref="H15:H19"/>
    <mergeCell ref="K35:K38"/>
    <mergeCell ref="N15:N19"/>
    <mergeCell ref="K15:K19"/>
    <mergeCell ref="M25:M28"/>
    <mergeCell ref="J25:J28"/>
    <mergeCell ref="L25:L28"/>
    <mergeCell ref="G29:G34"/>
    <mergeCell ref="F20:F24"/>
    <mergeCell ref="A29:A34"/>
    <mergeCell ref="B35:B38"/>
    <mergeCell ref="N35:N38"/>
    <mergeCell ref="E15:E19"/>
    <mergeCell ref="M35:M38"/>
    <mergeCell ref="B15:B19"/>
    <mergeCell ref="A1:P1"/>
    <mergeCell ref="I15:I19"/>
    <mergeCell ref="J35:J38"/>
    <mergeCell ref="H10:H14"/>
    <mergeCell ref="L35:L38"/>
    <mergeCell ref="F15:F19"/>
    <mergeCell ref="M10:M14"/>
    <mergeCell ref="E10:E14"/>
    <mergeCell ref="G10:G14"/>
    <mergeCell ref="L5:L9"/>
    <mergeCell ref="F29:F34"/>
    <mergeCell ref="A10:A14"/>
    <mergeCell ref="O35:O38"/>
    <mergeCell ref="E5:E9"/>
    <mergeCell ref="J10:J14"/>
    <mergeCell ref="P10:P14"/>
    <mergeCell ref="F5:F9"/>
    <mergeCell ref="O20:O24"/>
    <mergeCell ref="J15:J19"/>
    <mergeCell ref="B20:B24"/>
    <mergeCell ref="O25:O28"/>
    <mergeCell ref="B29:B34"/>
    <mergeCell ref="A15:A19"/>
    <mergeCell ref="N20:N24"/>
    <mergeCell ref="H5:H9"/>
    <mergeCell ref="J5:J9"/>
    <mergeCell ref="F10:F14"/>
    <mergeCell ref="K5:K9"/>
    <mergeCell ref="M5:M9"/>
    <mergeCell ref="M29:M34"/>
    <mergeCell ref="I29:I34"/>
    <mergeCell ref="O5:O9"/>
    <mergeCell ref="B25:B28"/>
    <mergeCell ref="G15:G19"/>
    <mergeCell ref="O40:P40"/>
    <mergeCell ref="L29:L34"/>
    <mergeCell ref="I35:I38"/>
    <mergeCell ref="O15:O19"/>
    <mergeCell ref="N29:N34"/>
    <mergeCell ref="K20:K24"/>
    <mergeCell ref="E25:E28"/>
    <mergeCell ref="M20:M24"/>
    <mergeCell ref="G25:G28"/>
    <mergeCell ref="L15:L19"/>
    <mergeCell ref="K25:K28"/>
    <mergeCell ref="O29:O34"/>
    <mergeCell ref="P20:P24"/>
    <mergeCell ref="F35:F38"/>
    <mergeCell ref="H20:H24"/>
    <mergeCell ref="E20:E24"/>
    <mergeCell ref="G35:G38"/>
    <mergeCell ref="P29:P34"/>
    <mergeCell ref="I25:I28"/>
    <mergeCell ref="P15:P19"/>
    <mergeCell ref="A35:A38"/>
    <mergeCell ref="M15:M19"/>
    <mergeCell ref="B10:B14"/>
    <mergeCell ref="G5:G9"/>
    <mergeCell ref="I5:I9"/>
    <mergeCell ref="A5:A9"/>
    <mergeCell ref="N25:N28"/>
    <mergeCell ref="A20:A24"/>
    <mergeCell ref="P25:P28"/>
    <mergeCell ref="K29:K34"/>
    <mergeCell ref="N10:N14"/>
    <mergeCell ref="N5:N9"/>
    <mergeCell ref="F25:F28"/>
    <mergeCell ref="H25:H28"/>
    <mergeCell ref="L10:L14"/>
    <mergeCell ref="P35:P38"/>
    <mergeCell ref="H35:H38"/>
    <mergeCell ref="B5:B9"/>
    <mergeCell ref="I10:I14"/>
    <mergeCell ref="K10:K14"/>
    <mergeCell ref="P5:P9"/>
    <mergeCell ref="O10:O14"/>
    <mergeCell ref="G20:G24"/>
    <mergeCell ref="E29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SIU Sem 1 Master CGPA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Iyer</cp:lastModifiedBy>
  <dcterms:created xsi:type="dcterms:W3CDTF">2026-09-09T10:19:20Z</dcterms:created>
  <dcterms:modified xsi:type="dcterms:W3CDTF">2026-09-29T12:14:22Z</dcterms:modified>
</cp:coreProperties>
</file>